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b\Desktop\QS0 511\"/>
    </mc:Choice>
  </mc:AlternateContent>
  <xr:revisionPtr revIDLastSave="0" documentId="13_ncr:1_{7AA7B0DD-E4BD-4598-9D58-13FDA3DFB61E}" xr6:coauthVersionLast="47" xr6:coauthVersionMax="47" xr10:uidLastSave="{00000000-0000-0000-0000-000000000000}"/>
  <bookViews>
    <workbookView xWindow="-108" yWindow="-108" windowWidth="23256" windowHeight="12456" xr2:uid="{E479171C-58D9-4CE7-9D70-63674F8F4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H3" i="1"/>
</calcChain>
</file>

<file path=xl/sharedStrings.xml><?xml version="1.0" encoding="utf-8"?>
<sst xmlns="http://schemas.openxmlformats.org/spreadsheetml/2006/main" count="375" uniqueCount="161">
  <si>
    <t>Name</t>
  </si>
  <si>
    <t>Team</t>
  </si>
  <si>
    <t>Role/Position</t>
  </si>
  <si>
    <t>Experience (PDF "Years" Column)</t>
  </si>
  <si>
    <t>Chris Acres</t>
  </si>
  <si>
    <t>Fire</t>
  </si>
  <si>
    <t>Forward</t>
  </si>
  <si>
    <t>Aidan Anderson</t>
  </si>
  <si>
    <t>Anthony Azarian</t>
  </si>
  <si>
    <t>Police</t>
  </si>
  <si>
    <t>Goalie</t>
  </si>
  <si>
    <t>Derek Bekar</t>
  </si>
  <si>
    <t>Assistant Coach</t>
  </si>
  <si>
    <t>Stephen Belle-Isle</t>
  </si>
  <si>
    <t>Jake Benjamin</t>
  </si>
  <si>
    <t>Alex Berry</t>
  </si>
  <si>
    <t>Matthew Blonigen</t>
  </si>
  <si>
    <t>Defense</t>
  </si>
  <si>
    <t>Lucas Bombardier</t>
  </si>
  <si>
    <t>Erik Burke</t>
  </si>
  <si>
    <t>Paddy Capsalis</t>
  </si>
  <si>
    <t>Robert Caruolo</t>
  </si>
  <si>
    <t>Jeff Clattenburg</t>
  </si>
  <si>
    <t>Daniel Conley</t>
  </si>
  <si>
    <t>Timothy/Timmy Conroy</t>
  </si>
  <si>
    <t>Chris Couturier</t>
  </si>
  <si>
    <t>Defense / Coach</t>
  </si>
  <si>
    <t>Joshua Crampsey</t>
  </si>
  <si>
    <t>Cam Cundy</t>
  </si>
  <si>
    <t>Kyle Daly</t>
  </si>
  <si>
    <t>Matt Dawson</t>
  </si>
  <si>
    <t>Jonathan Demers</t>
  </si>
  <si>
    <t>Dan Doherty</t>
  </si>
  <si>
    <t>Co-Head Coach</t>
  </si>
  <si>
    <t>Patrick Donahue</t>
  </si>
  <si>
    <t>Kyle Doran</t>
  </si>
  <si>
    <t>Micky Drouin</t>
  </si>
  <si>
    <t>Head Coach</t>
  </si>
  <si>
    <t>Chad Fazio</t>
  </si>
  <si>
    <t>Cole Ferguson</t>
  </si>
  <si>
    <t>Dylan Ferguson</t>
  </si>
  <si>
    <t>Marc Frederick</t>
  </si>
  <si>
    <t>Joe Gagne</t>
  </si>
  <si>
    <t>Zachary/Zach Gagnon</t>
  </si>
  <si>
    <t>Ian Gill</t>
  </si>
  <si>
    <t>Aidan Gorman</t>
  </si>
  <si>
    <t>Matthew Gould</t>
  </si>
  <si>
    <t>Alexander Hall</t>
  </si>
  <si>
    <t>Christian Henault</t>
  </si>
  <si>
    <t>Cameron/Cam Hult</t>
  </si>
  <si>
    <t>Roman Kelly</t>
  </si>
  <si>
    <t>Bryan Lamontagne</t>
  </si>
  <si>
    <t>Cody Lappas</t>
  </si>
  <si>
    <t>Jake Latham</t>
  </si>
  <si>
    <t>Leo LeBlanc</t>
  </si>
  <si>
    <t>Will Mahoney</t>
  </si>
  <si>
    <t>Timary Malley</t>
  </si>
  <si>
    <t>Kyle Manlow</t>
  </si>
  <si>
    <t>Billy McBournie</t>
  </si>
  <si>
    <t>Jonathan McDonald</t>
  </si>
  <si>
    <t>Forward / Defense</t>
  </si>
  <si>
    <t>Hubie McDonough</t>
  </si>
  <si>
    <t>Coach</t>
  </si>
  <si>
    <t>Mike McNeil</t>
  </si>
  <si>
    <t>Jay Michaud</t>
  </si>
  <si>
    <t>Justin Miedico</t>
  </si>
  <si>
    <t>Chris Murphy</t>
  </si>
  <si>
    <t>Justin Murphy</t>
  </si>
  <si>
    <t>Nickolas Nault</t>
  </si>
  <si>
    <t>Thomas/Tom Nault</t>
  </si>
  <si>
    <t>Robbie/Robert Nowill</t>
  </si>
  <si>
    <t>Bryce Parker</t>
  </si>
  <si>
    <t>David Pas</t>
  </si>
  <si>
    <t>Jake Paulsen</t>
  </si>
  <si>
    <t>Tyler Phair</t>
  </si>
  <si>
    <t>Emmett Plourde</t>
  </si>
  <si>
    <t>Chris Plummer</t>
  </si>
  <si>
    <t>Cameron Rizan</t>
  </si>
  <si>
    <t>Casarra Roderick</t>
  </si>
  <si>
    <t>Ashton Rome</t>
  </si>
  <si>
    <t>Tristan Rowe</t>
  </si>
  <si>
    <t>Joey Ryan</t>
  </si>
  <si>
    <t>Bradley Ryder</t>
  </si>
  <si>
    <t>Alternate Goalie</t>
  </si>
  <si>
    <t>Wayne Sheehan</t>
  </si>
  <si>
    <t>Michael Snide</t>
  </si>
  <si>
    <t>Steve/Stephen Soares</t>
  </si>
  <si>
    <t>Tyler Stratton</t>
  </si>
  <si>
    <t>Brendan Sullivan</t>
  </si>
  <si>
    <t>Zach/Zachary Sylvester</t>
  </si>
  <si>
    <t>Danny Tanner</t>
  </si>
  <si>
    <t>Cameron/Cam Verrier</t>
  </si>
  <si>
    <t>Cam Vetter</t>
  </si>
  <si>
    <t>Paddy Vetter</t>
  </si>
  <si>
    <t>Jamey Walden</t>
  </si>
  <si>
    <t>Column1</t>
  </si>
  <si>
    <t>2023, 2024</t>
  </si>
  <si>
    <t xml:space="preserve">2024, 2025 </t>
  </si>
  <si>
    <t xml:space="preserve">2023, 2024, 2025 </t>
  </si>
  <si>
    <t xml:space="preserve">2023, 2024 </t>
  </si>
  <si>
    <t>2024, 2025</t>
  </si>
  <si>
    <t>Department</t>
  </si>
  <si>
    <t>Concord</t>
  </si>
  <si>
    <t>Hampton</t>
  </si>
  <si>
    <t>—</t>
  </si>
  <si>
    <t>Dover, Retired</t>
  </si>
  <si>
    <t>Amherst</t>
  </si>
  <si>
    <t>Dover</t>
  </si>
  <si>
    <t>NH State Police</t>
  </si>
  <si>
    <t xml:space="preserve">Concord Hospital </t>
  </si>
  <si>
    <t xml:space="preserve">Londonderry </t>
  </si>
  <si>
    <t xml:space="preserve">Hudson </t>
  </si>
  <si>
    <t xml:space="preserve">Hampstead </t>
  </si>
  <si>
    <t xml:space="preserve">Hampton </t>
  </si>
  <si>
    <t xml:space="preserve">Manchester </t>
  </si>
  <si>
    <t xml:space="preserve">Epping </t>
  </si>
  <si>
    <t xml:space="preserve">Claremont </t>
  </si>
  <si>
    <t xml:space="preserve">Kensington, retired </t>
  </si>
  <si>
    <t xml:space="preserve">Malden, MA </t>
  </si>
  <si>
    <t xml:space="preserve">Sutton </t>
  </si>
  <si>
    <t xml:space="preserve">Salem </t>
  </si>
  <si>
    <t xml:space="preserve">Dover </t>
  </si>
  <si>
    <t xml:space="preserve">Merrimack </t>
  </si>
  <si>
    <t xml:space="preserve">Candia / Bow </t>
  </si>
  <si>
    <t xml:space="preserve">Andover, MA </t>
  </si>
  <si>
    <t xml:space="preserve">Keene </t>
  </si>
  <si>
    <t xml:space="preserve">Concord Fire </t>
  </si>
  <si>
    <t xml:space="preserve">Goffstown </t>
  </si>
  <si>
    <t xml:space="preserve">Seabrook </t>
  </si>
  <si>
    <t xml:space="preserve">Nashua </t>
  </si>
  <si>
    <t xml:space="preserve">Kensington </t>
  </si>
  <si>
    <t xml:space="preserve">Elliot Hospital </t>
  </si>
  <si>
    <t xml:space="preserve">Retired </t>
  </si>
  <si>
    <t xml:space="preserve">Hillsborough County DOC </t>
  </si>
  <si>
    <t xml:space="preserve">North Hampton </t>
  </si>
  <si>
    <t xml:space="preserve">Derry </t>
  </si>
  <si>
    <t xml:space="preserve">Portsmouth </t>
  </si>
  <si>
    <t xml:space="preserve">Hillsborough County Sheriff </t>
  </si>
  <si>
    <t xml:space="preserve">Hartford, VT </t>
  </si>
  <si>
    <t xml:space="preserve">NH National Guard / Merrimack </t>
  </si>
  <si>
    <t xml:space="preserve">Gorham, ME / S. Berwick </t>
  </si>
  <si>
    <t xml:space="preserve">Concord </t>
  </si>
  <si>
    <t xml:space="preserve">Concord Hospital / ER </t>
  </si>
  <si>
    <t xml:space="preserve">Rochester / NH State Police </t>
  </si>
  <si>
    <t xml:space="preserve">Danvers, MA </t>
  </si>
  <si>
    <t xml:space="preserve">Hollis </t>
  </si>
  <si>
    <t xml:space="preserve">Durham / Londonderry </t>
  </si>
  <si>
    <t xml:space="preserve">Merrimack / ATF Boston </t>
  </si>
  <si>
    <t xml:space="preserve">Manchester, retired </t>
  </si>
  <si>
    <t xml:space="preserve">Laconia </t>
  </si>
  <si>
    <t xml:space="preserve">Dover Fire </t>
  </si>
  <si>
    <t xml:space="preserve">Lebanon </t>
  </si>
  <si>
    <t xml:space="preserve">Belmont </t>
  </si>
  <si>
    <t xml:space="preserve">Sandown </t>
  </si>
  <si>
    <t>Farmington (2024), Somersworth (2025)</t>
  </si>
  <si>
    <t>Bow (2024), Concord (2025)</t>
  </si>
  <si>
    <t>percentge %</t>
  </si>
  <si>
    <t>yeaars of participation</t>
  </si>
  <si>
    <t xml:space="preserve">0-1  </t>
  </si>
  <si>
    <t>4+</t>
  </si>
  <si>
    <t xml:space="preserve">2-3.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</si>
</sst>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9" fontId="0" fillId="0" borderId="0" xfId="1" applyFont="1"/>
    <xf numFmtId="9" fontId="0" fillId="0" borderId="0" xfId="0" applyNumberFormat="1"/>
    <xf numFmtId="164" fontId="0" fillId="0" borderId="0" xfId="1" applyNumberFormat="1" applyFont="1"/>
    <xf numFmtId="16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CHaD Participation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Sheet1!$J$5</c:f>
              <c:strCache>
                <c:ptCount val="1"/>
                <c:pt idx="0">
                  <c:v>percentge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80-4C7C-95A7-F15F0C942E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80-4C7C-95A7-F15F0C942E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80-4C7C-95A7-F15F0C942E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Sheet1!$I$6:$I$8</c:f>
              <c:strCache>
                <c:ptCount val="3"/>
                <c:pt idx="0">
                  <c:v>0-1  </c:v>
                </c:pt>
                <c:pt idx="1">
                  <c:v>2-3. </c:v>
                </c:pt>
                <c:pt idx="2">
                  <c:v>4+</c:v>
                </c:pt>
              </c:strCache>
            </c:strRef>
          </c:cat>
          <c:val>
            <c:numRef>
              <c:f>Sheet1!$J$6:$J$8</c:f>
              <c:numCache>
                <c:formatCode>0.0%</c:formatCode>
                <c:ptCount val="3"/>
                <c:pt idx="0">
                  <c:v>0.28749999999999998</c:v>
                </c:pt>
                <c:pt idx="1">
                  <c:v>0.27500000000000002</c:v>
                </c:pt>
                <c:pt idx="2">
                  <c:v>0.42499999999999999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1-4482-B90F-72E893E0510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9</xdr:row>
      <xdr:rowOff>11430</xdr:rowOff>
    </xdr:from>
    <xdr:to>
      <xdr:col>12</xdr:col>
      <xdr:colOff>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07BF8-1A51-DA20-6535-06C40061C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3E756-F6EA-4528-8C5F-682DEA4DAD76}" name="Table1" displayName="Table1" ref="A1:F80" totalsRowShown="0" headerRowDxfId="10" dataDxfId="8" headerRowBorderDxfId="9" tableBorderDxfId="7" totalsRowBorderDxfId="6">
  <autoFilter ref="A1:F80" xr:uid="{0D23E756-F6EA-4528-8C5F-682DEA4DAD76}"/>
  <tableColumns count="6">
    <tableColumn id="1" xr3:uid="{A9CE4199-5DDC-4B21-BE15-7CA8223ACB45}" name="Name" dataDxfId="5"/>
    <tableColumn id="2" xr3:uid="{BBA1EDED-DD1E-469E-A65A-723A4EB37B3E}" name="Team" dataDxfId="4"/>
    <tableColumn id="3" xr3:uid="{B3C0F5B5-22FF-44BA-B133-91BB79168EC3}" name="Role/Position" dataDxfId="3"/>
    <tableColumn id="4" xr3:uid="{A795A81E-C6B8-46DB-B6CA-366E075F8381}" name="Column1" dataDxfId="2"/>
    <tableColumn id="5" xr3:uid="{9CA88FF2-AA3C-4664-846F-02E6534CF0A8}" name="Experience (PDF &quot;Years&quot; Column)" dataDxfId="1"/>
    <tableColumn id="6" xr3:uid="{FBAEEF9D-FCCE-49F3-8A52-36ECFE5A1770}" name="Departmen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C225D5-A0BD-4015-99EF-C4613A123FDB}" name="Table2" displayName="Table2" ref="I5:J8" totalsRowShown="0">
  <autoFilter ref="I5:J8" xr:uid="{06C225D5-A0BD-4015-99EF-C4613A123FDB}"/>
  <tableColumns count="2">
    <tableColumn id="1" xr3:uid="{88D2E923-304F-4161-BAF2-AE313875F8F7}" name="yeaars of participation"/>
    <tableColumn id="2" xr3:uid="{576C752A-80F0-4E2C-A9F0-4140099A8071}" name="percentg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B04B-D4C1-466F-9592-3966865EE96B}">
  <dimension ref="A1:J80"/>
  <sheetViews>
    <sheetView tabSelected="1" topLeftCell="B1" workbookViewId="0">
      <selection activeCell="H8" sqref="H8"/>
    </sheetView>
  </sheetViews>
  <sheetFormatPr defaultRowHeight="14.4" x14ac:dyDescent="0.3"/>
  <cols>
    <col min="1" max="1" width="20.33203125" bestFit="1" customWidth="1"/>
    <col min="2" max="2" width="10.5546875" customWidth="1"/>
    <col min="3" max="3" width="16.21875" bestFit="1" customWidth="1"/>
    <col min="4" max="4" width="19.88671875" bestFit="1" customWidth="1"/>
    <col min="5" max="5" width="33.44140625" bestFit="1" customWidth="1"/>
    <col min="6" max="6" width="34.21875" bestFit="1" customWidth="1"/>
    <col min="9" max="9" width="21.88671875" bestFit="1" customWidth="1"/>
    <col min="10" max="10" width="13.44140625" bestFit="1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95</v>
      </c>
      <c r="E1" s="3" t="s">
        <v>3</v>
      </c>
      <c r="F1" s="11" t="s">
        <v>101</v>
      </c>
    </row>
    <row r="2" spans="1:10" ht="15" thickBot="1" x14ac:dyDescent="0.35">
      <c r="A2" s="6" t="s">
        <v>4</v>
      </c>
      <c r="B2" s="4" t="s">
        <v>5</v>
      </c>
      <c r="C2" s="4" t="s">
        <v>6</v>
      </c>
      <c r="D2" s="4" t="s">
        <v>96</v>
      </c>
      <c r="E2" s="7">
        <v>4</v>
      </c>
      <c r="F2" s="10" t="s">
        <v>102</v>
      </c>
    </row>
    <row r="3" spans="1:10" ht="15" thickBot="1" x14ac:dyDescent="0.35">
      <c r="A3" s="6" t="s">
        <v>7</v>
      </c>
      <c r="B3" s="4" t="s">
        <v>5</v>
      </c>
      <c r="C3" s="4" t="s">
        <v>6</v>
      </c>
      <c r="D3" s="4" t="s">
        <v>97</v>
      </c>
      <c r="E3" s="7">
        <v>2</v>
      </c>
      <c r="F3" s="4" t="s">
        <v>154</v>
      </c>
      <c r="H3" s="12">
        <f>COUNTIF(E:E,1) / COUNTA(E:E)</f>
        <v>0.28749999999999998</v>
      </c>
    </row>
    <row r="4" spans="1:10" ht="15" thickBot="1" x14ac:dyDescent="0.35">
      <c r="A4" s="6" t="s">
        <v>8</v>
      </c>
      <c r="B4" s="4" t="s">
        <v>9</v>
      </c>
      <c r="C4" s="4" t="s">
        <v>10</v>
      </c>
      <c r="D4" s="4" t="s">
        <v>97</v>
      </c>
      <c r="E4" s="7">
        <v>2</v>
      </c>
      <c r="F4" s="4" t="s">
        <v>103</v>
      </c>
    </row>
    <row r="5" spans="1:10" ht="15" thickBot="1" x14ac:dyDescent="0.35">
      <c r="A5" s="6" t="s">
        <v>11</v>
      </c>
      <c r="B5" s="4" t="s">
        <v>5</v>
      </c>
      <c r="C5" s="4" t="s">
        <v>12</v>
      </c>
      <c r="D5" s="4">
        <v>2023</v>
      </c>
      <c r="E5" s="7">
        <v>1</v>
      </c>
      <c r="F5" s="4" t="s">
        <v>104</v>
      </c>
      <c r="I5" t="s">
        <v>157</v>
      </c>
      <c r="J5" t="s">
        <v>156</v>
      </c>
    </row>
    <row r="6" spans="1:10" ht="15" thickBot="1" x14ac:dyDescent="0.35">
      <c r="A6" s="6" t="s">
        <v>13</v>
      </c>
      <c r="B6" s="4" t="s">
        <v>5</v>
      </c>
      <c r="C6" s="4" t="s">
        <v>10</v>
      </c>
      <c r="D6" s="4" t="s">
        <v>98</v>
      </c>
      <c r="E6" s="7">
        <v>6</v>
      </c>
      <c r="F6" s="4" t="s">
        <v>142</v>
      </c>
      <c r="I6" t="s">
        <v>158</v>
      </c>
      <c r="J6" s="14">
        <f>COUNTIF(E:E,1) / COUNTA(E:E)</f>
        <v>0.28749999999999998</v>
      </c>
    </row>
    <row r="7" spans="1:10" ht="15" thickBot="1" x14ac:dyDescent="0.35">
      <c r="A7" s="6" t="s">
        <v>14</v>
      </c>
      <c r="B7" s="4" t="s">
        <v>9</v>
      </c>
      <c r="C7" s="4" t="s">
        <v>6</v>
      </c>
      <c r="D7" s="4" t="s">
        <v>98</v>
      </c>
      <c r="E7" s="7">
        <v>8</v>
      </c>
      <c r="F7" s="4" t="s">
        <v>143</v>
      </c>
      <c r="I7" s="15" t="s">
        <v>160</v>
      </c>
      <c r="J7" s="14">
        <f>COUNTIFS(E:E, "&gt;=2", E:E, "&lt;=3") / COUNTA(E:E)</f>
        <v>0.27500000000000002</v>
      </c>
    </row>
    <row r="8" spans="1:10" ht="15" thickBot="1" x14ac:dyDescent="0.35">
      <c r="A8" s="6" t="s">
        <v>15</v>
      </c>
      <c r="B8" s="4" t="s">
        <v>5</v>
      </c>
      <c r="C8" s="4" t="s">
        <v>6</v>
      </c>
      <c r="D8" s="4">
        <v>2023</v>
      </c>
      <c r="E8" s="7">
        <v>1</v>
      </c>
      <c r="F8" s="4" t="s">
        <v>144</v>
      </c>
      <c r="I8" t="s">
        <v>159</v>
      </c>
      <c r="J8" s="14">
        <f>COUNTIF(E:E, "&gt;=4") / COUNTA(E:E)</f>
        <v>0.42499999999999999</v>
      </c>
    </row>
    <row r="9" spans="1:10" ht="15" thickBot="1" x14ac:dyDescent="0.35">
      <c r="A9" s="6" t="s">
        <v>16</v>
      </c>
      <c r="B9" s="4" t="s">
        <v>9</v>
      </c>
      <c r="C9" s="4" t="s">
        <v>17</v>
      </c>
      <c r="D9" s="4" t="s">
        <v>98</v>
      </c>
      <c r="E9" s="7">
        <v>13</v>
      </c>
      <c r="F9" s="4" t="s">
        <v>114</v>
      </c>
    </row>
    <row r="10" spans="1:10" ht="15" thickBot="1" x14ac:dyDescent="0.35">
      <c r="A10" s="6" t="s">
        <v>18</v>
      </c>
      <c r="B10" s="4" t="s">
        <v>5</v>
      </c>
      <c r="C10" s="4" t="s">
        <v>6</v>
      </c>
      <c r="D10" s="4">
        <v>2024</v>
      </c>
      <c r="E10" s="7">
        <v>1</v>
      </c>
      <c r="F10" s="4" t="s">
        <v>145</v>
      </c>
      <c r="J10" s="13"/>
    </row>
    <row r="11" spans="1:10" ht="15" thickBot="1" x14ac:dyDescent="0.35">
      <c r="A11" s="6" t="s">
        <v>19</v>
      </c>
      <c r="B11" s="4" t="s">
        <v>9</v>
      </c>
      <c r="C11" s="4" t="s">
        <v>6</v>
      </c>
      <c r="D11" s="4" t="s">
        <v>98</v>
      </c>
      <c r="E11" s="7">
        <v>5</v>
      </c>
      <c r="F11" s="4" t="s">
        <v>146</v>
      </c>
    </row>
    <row r="12" spans="1:10" ht="15" thickBot="1" x14ac:dyDescent="0.35">
      <c r="A12" s="6" t="s">
        <v>20</v>
      </c>
      <c r="B12" s="4" t="s">
        <v>9</v>
      </c>
      <c r="C12" s="4" t="s">
        <v>10</v>
      </c>
      <c r="D12" s="4" t="s">
        <v>99</v>
      </c>
      <c r="E12" s="7">
        <v>2</v>
      </c>
      <c r="F12" s="4" t="s">
        <v>153</v>
      </c>
    </row>
    <row r="13" spans="1:10" ht="15" thickBot="1" x14ac:dyDescent="0.35">
      <c r="A13" s="6" t="s">
        <v>21</v>
      </c>
      <c r="B13" s="4" t="s">
        <v>5</v>
      </c>
      <c r="C13" s="4" t="s">
        <v>17</v>
      </c>
      <c r="D13" s="4">
        <v>2025</v>
      </c>
      <c r="E13" s="7">
        <v>1</v>
      </c>
      <c r="F13" s="4" t="s">
        <v>152</v>
      </c>
    </row>
    <row r="14" spans="1:10" ht="15" thickBot="1" x14ac:dyDescent="0.35">
      <c r="A14" s="6" t="s">
        <v>22</v>
      </c>
      <c r="B14" s="4" t="s">
        <v>5</v>
      </c>
      <c r="C14" s="4" t="s">
        <v>17</v>
      </c>
      <c r="D14" s="4">
        <v>2023</v>
      </c>
      <c r="E14" s="7">
        <v>14</v>
      </c>
      <c r="F14" s="4" t="s">
        <v>151</v>
      </c>
    </row>
    <row r="15" spans="1:10" ht="15" thickBot="1" x14ac:dyDescent="0.35">
      <c r="A15" s="6" t="s">
        <v>23</v>
      </c>
      <c r="B15" s="4" t="s">
        <v>9</v>
      </c>
      <c r="C15" s="4" t="s">
        <v>17</v>
      </c>
      <c r="D15" s="4" t="s">
        <v>98</v>
      </c>
      <c r="E15" s="7">
        <v>15</v>
      </c>
      <c r="F15" s="4" t="s">
        <v>127</v>
      </c>
    </row>
    <row r="16" spans="1:10" ht="15" thickBot="1" x14ac:dyDescent="0.35">
      <c r="A16" s="6" t="s">
        <v>24</v>
      </c>
      <c r="B16" s="4" t="s">
        <v>9</v>
      </c>
      <c r="C16" s="4" t="s">
        <v>6</v>
      </c>
      <c r="D16" s="4" t="s">
        <v>98</v>
      </c>
      <c r="E16" s="7">
        <v>3</v>
      </c>
      <c r="F16" s="4" t="s">
        <v>136</v>
      </c>
    </row>
    <row r="17" spans="1:6" ht="15" thickBot="1" x14ac:dyDescent="0.35">
      <c r="A17" s="6" t="s">
        <v>25</v>
      </c>
      <c r="B17" s="4" t="s">
        <v>5</v>
      </c>
      <c r="C17" s="4" t="s">
        <v>26</v>
      </c>
      <c r="D17" s="4" t="s">
        <v>98</v>
      </c>
      <c r="E17" s="7">
        <v>16</v>
      </c>
      <c r="F17" s="4" t="s">
        <v>150</v>
      </c>
    </row>
    <row r="18" spans="1:6" ht="15" thickBot="1" x14ac:dyDescent="0.35">
      <c r="A18" s="6" t="s">
        <v>27</v>
      </c>
      <c r="B18" s="4" t="s">
        <v>5</v>
      </c>
      <c r="C18" s="4" t="s">
        <v>17</v>
      </c>
      <c r="D18" s="4">
        <v>2025</v>
      </c>
      <c r="E18" s="7">
        <v>1</v>
      </c>
      <c r="F18" s="4" t="s">
        <v>121</v>
      </c>
    </row>
    <row r="19" spans="1:6" ht="15" thickBot="1" x14ac:dyDescent="0.35">
      <c r="A19" s="6" t="s">
        <v>28</v>
      </c>
      <c r="B19" s="4" t="s">
        <v>9</v>
      </c>
      <c r="C19" s="4" t="s">
        <v>17</v>
      </c>
      <c r="D19" s="4" t="s">
        <v>98</v>
      </c>
      <c r="E19" s="7">
        <v>4</v>
      </c>
      <c r="F19" s="4" t="s">
        <v>115</v>
      </c>
    </row>
    <row r="20" spans="1:6" ht="15" thickBot="1" x14ac:dyDescent="0.35">
      <c r="A20" s="6" t="s">
        <v>29</v>
      </c>
      <c r="B20" s="4" t="s">
        <v>9</v>
      </c>
      <c r="C20" s="4" t="s">
        <v>12</v>
      </c>
      <c r="D20" s="4" t="s">
        <v>98</v>
      </c>
      <c r="E20" s="7">
        <v>9</v>
      </c>
      <c r="F20" s="4" t="s">
        <v>114</v>
      </c>
    </row>
    <row r="21" spans="1:6" ht="15" thickBot="1" x14ac:dyDescent="0.35">
      <c r="A21" s="6" t="s">
        <v>30</v>
      </c>
      <c r="B21" s="4" t="s">
        <v>5</v>
      </c>
      <c r="C21" s="4" t="s">
        <v>17</v>
      </c>
      <c r="D21" s="4">
        <v>2025</v>
      </c>
      <c r="E21" s="7">
        <v>1</v>
      </c>
      <c r="F21" s="4" t="s">
        <v>149</v>
      </c>
    </row>
    <row r="22" spans="1:6" ht="15" thickBot="1" x14ac:dyDescent="0.35">
      <c r="A22" s="6" t="s">
        <v>31</v>
      </c>
      <c r="B22" s="4" t="s">
        <v>5</v>
      </c>
      <c r="C22" s="4" t="s">
        <v>6</v>
      </c>
      <c r="D22" s="4">
        <v>2025</v>
      </c>
      <c r="E22" s="7">
        <v>1</v>
      </c>
      <c r="F22" s="4" t="s">
        <v>121</v>
      </c>
    </row>
    <row r="23" spans="1:6" ht="15" thickBot="1" x14ac:dyDescent="0.35">
      <c r="A23" s="6" t="s">
        <v>32</v>
      </c>
      <c r="B23" s="4" t="s">
        <v>9</v>
      </c>
      <c r="C23" s="4" t="s">
        <v>33</v>
      </c>
      <c r="D23" s="4">
        <v>2023</v>
      </c>
      <c r="E23" s="7">
        <v>8</v>
      </c>
      <c r="F23" s="4" t="s">
        <v>148</v>
      </c>
    </row>
    <row r="24" spans="1:6" ht="15" thickBot="1" x14ac:dyDescent="0.35">
      <c r="A24" s="6" t="s">
        <v>34</v>
      </c>
      <c r="B24" s="4" t="s">
        <v>9</v>
      </c>
      <c r="C24" s="4" t="s">
        <v>6</v>
      </c>
      <c r="D24" s="4" t="s">
        <v>98</v>
      </c>
      <c r="E24" s="7">
        <v>5</v>
      </c>
      <c r="F24" s="4" t="s">
        <v>147</v>
      </c>
    </row>
    <row r="25" spans="1:6" ht="15" thickBot="1" x14ac:dyDescent="0.35">
      <c r="A25" s="6" t="s">
        <v>35</v>
      </c>
      <c r="B25" s="4" t="s">
        <v>9</v>
      </c>
      <c r="C25" s="4" t="s">
        <v>6</v>
      </c>
      <c r="D25" s="4">
        <v>2023</v>
      </c>
      <c r="E25" s="7">
        <v>1</v>
      </c>
      <c r="F25" s="4" t="s">
        <v>114</v>
      </c>
    </row>
    <row r="26" spans="1:6" ht="15" thickBot="1" x14ac:dyDescent="0.35">
      <c r="A26" s="6" t="s">
        <v>36</v>
      </c>
      <c r="B26" s="4" t="s">
        <v>5</v>
      </c>
      <c r="C26" s="4" t="s">
        <v>37</v>
      </c>
      <c r="D26" s="4">
        <v>2023</v>
      </c>
      <c r="E26" s="7">
        <v>15</v>
      </c>
      <c r="F26" s="4" t="s">
        <v>105</v>
      </c>
    </row>
    <row r="27" spans="1:6" ht="15" thickBot="1" x14ac:dyDescent="0.35">
      <c r="A27" s="6" t="s">
        <v>38</v>
      </c>
      <c r="B27" s="4" t="s">
        <v>9</v>
      </c>
      <c r="C27" s="4" t="s">
        <v>10</v>
      </c>
      <c r="D27" s="4" t="s">
        <v>99</v>
      </c>
      <c r="E27" s="7">
        <v>2</v>
      </c>
      <c r="F27" s="4" t="s">
        <v>114</v>
      </c>
    </row>
    <row r="28" spans="1:6" ht="15" thickBot="1" x14ac:dyDescent="0.35">
      <c r="A28" s="6" t="s">
        <v>39</v>
      </c>
      <c r="B28" s="4" t="s">
        <v>5</v>
      </c>
      <c r="C28" s="4" t="s">
        <v>6</v>
      </c>
      <c r="D28" s="4">
        <v>2025</v>
      </c>
      <c r="E28" s="7">
        <v>1</v>
      </c>
      <c r="F28" s="4" t="s">
        <v>120</v>
      </c>
    </row>
    <row r="29" spans="1:6" ht="15" thickBot="1" x14ac:dyDescent="0.35">
      <c r="A29" s="6" t="s">
        <v>40</v>
      </c>
      <c r="B29" s="4" t="s">
        <v>5</v>
      </c>
      <c r="C29" s="4" t="s">
        <v>6</v>
      </c>
      <c r="D29" s="4" t="s">
        <v>97</v>
      </c>
      <c r="E29" s="7">
        <v>2</v>
      </c>
      <c r="F29" s="4" t="s">
        <v>120</v>
      </c>
    </row>
    <row r="30" spans="1:6" ht="15" thickBot="1" x14ac:dyDescent="0.35">
      <c r="A30" s="6" t="s">
        <v>41</v>
      </c>
      <c r="B30" s="4" t="s">
        <v>9</v>
      </c>
      <c r="C30" s="4" t="s">
        <v>10</v>
      </c>
      <c r="D30" s="4">
        <v>2025</v>
      </c>
      <c r="E30" s="7">
        <v>1</v>
      </c>
      <c r="F30" s="4" t="s">
        <v>106</v>
      </c>
    </row>
    <row r="31" spans="1:6" ht="15" thickBot="1" x14ac:dyDescent="0.35">
      <c r="A31" s="6" t="s">
        <v>42</v>
      </c>
      <c r="B31" s="4" t="s">
        <v>9</v>
      </c>
      <c r="C31" s="4" t="s">
        <v>17</v>
      </c>
      <c r="D31" s="4" t="s">
        <v>99</v>
      </c>
      <c r="E31" s="7">
        <v>3</v>
      </c>
      <c r="F31" s="4" t="s">
        <v>114</v>
      </c>
    </row>
    <row r="32" spans="1:6" ht="15" thickBot="1" x14ac:dyDescent="0.35">
      <c r="A32" s="6" t="s">
        <v>43</v>
      </c>
      <c r="B32" s="4" t="s">
        <v>5</v>
      </c>
      <c r="C32" s="4" t="s">
        <v>10</v>
      </c>
      <c r="D32" s="4" t="s">
        <v>97</v>
      </c>
      <c r="E32" s="7">
        <v>2</v>
      </c>
      <c r="F32" s="4" t="s">
        <v>141</v>
      </c>
    </row>
    <row r="33" spans="1:6" ht="15" thickBot="1" x14ac:dyDescent="0.35">
      <c r="A33" s="6" t="s">
        <v>44</v>
      </c>
      <c r="B33" s="4" t="s">
        <v>5</v>
      </c>
      <c r="C33" s="4" t="s">
        <v>17</v>
      </c>
      <c r="D33" s="4">
        <v>2023</v>
      </c>
      <c r="E33" s="7">
        <v>9</v>
      </c>
      <c r="F33" s="4" t="s">
        <v>141</v>
      </c>
    </row>
    <row r="34" spans="1:6" ht="15" thickBot="1" x14ac:dyDescent="0.35">
      <c r="A34" s="6" t="s">
        <v>45</v>
      </c>
      <c r="B34" s="4" t="s">
        <v>5</v>
      </c>
      <c r="C34" s="4" t="s">
        <v>6</v>
      </c>
      <c r="D34" s="4" t="s">
        <v>97</v>
      </c>
      <c r="E34" s="7">
        <v>2</v>
      </c>
      <c r="F34" s="4" t="s">
        <v>140</v>
      </c>
    </row>
    <row r="35" spans="1:6" ht="15" thickBot="1" x14ac:dyDescent="0.35">
      <c r="A35" s="6" t="s">
        <v>46</v>
      </c>
      <c r="B35" s="4" t="s">
        <v>5</v>
      </c>
      <c r="C35" s="4" t="s">
        <v>6</v>
      </c>
      <c r="D35" s="4" t="s">
        <v>100</v>
      </c>
      <c r="E35" s="7">
        <v>2</v>
      </c>
      <c r="F35" s="4" t="s">
        <v>139</v>
      </c>
    </row>
    <row r="36" spans="1:6" ht="15" thickBot="1" x14ac:dyDescent="0.35">
      <c r="A36" s="6" t="s">
        <v>47</v>
      </c>
      <c r="B36" s="4" t="s">
        <v>5</v>
      </c>
      <c r="C36" s="4" t="s">
        <v>10</v>
      </c>
      <c r="D36" s="4" t="s">
        <v>100</v>
      </c>
      <c r="E36" s="7">
        <v>2</v>
      </c>
      <c r="F36" s="4" t="s">
        <v>122</v>
      </c>
    </row>
    <row r="37" spans="1:6" ht="15" thickBot="1" x14ac:dyDescent="0.35">
      <c r="A37" s="6" t="s">
        <v>48</v>
      </c>
      <c r="B37" s="4" t="s">
        <v>5</v>
      </c>
      <c r="C37" s="4" t="s">
        <v>6</v>
      </c>
      <c r="D37" s="4">
        <v>2023</v>
      </c>
      <c r="E37" s="7">
        <v>4</v>
      </c>
      <c r="F37" s="4" t="s">
        <v>138</v>
      </c>
    </row>
    <row r="38" spans="1:6" ht="15" thickBot="1" x14ac:dyDescent="0.35">
      <c r="A38" s="6" t="s">
        <v>49</v>
      </c>
      <c r="B38" s="4" t="s">
        <v>9</v>
      </c>
      <c r="C38" s="4" t="s">
        <v>17</v>
      </c>
      <c r="D38" s="4" t="s">
        <v>98</v>
      </c>
      <c r="E38" s="7">
        <v>4</v>
      </c>
      <c r="F38" s="4" t="s">
        <v>129</v>
      </c>
    </row>
    <row r="39" spans="1:6" ht="15" thickBot="1" x14ac:dyDescent="0.35">
      <c r="A39" s="6" t="s">
        <v>50</v>
      </c>
      <c r="B39" s="4" t="s">
        <v>9</v>
      </c>
      <c r="C39" s="4" t="s">
        <v>6</v>
      </c>
      <c r="D39" s="4" t="s">
        <v>98</v>
      </c>
      <c r="E39" s="7">
        <v>4</v>
      </c>
      <c r="F39" s="4" t="s">
        <v>137</v>
      </c>
    </row>
    <row r="40" spans="1:6" ht="15" thickBot="1" x14ac:dyDescent="0.35">
      <c r="A40" s="6" t="s">
        <v>51</v>
      </c>
      <c r="B40" s="4" t="s">
        <v>9</v>
      </c>
      <c r="C40" s="4" t="s">
        <v>17</v>
      </c>
      <c r="D40" s="4" t="s">
        <v>98</v>
      </c>
      <c r="E40" s="7">
        <v>5</v>
      </c>
      <c r="F40" s="4" t="s">
        <v>112</v>
      </c>
    </row>
    <row r="41" spans="1:6" ht="15" thickBot="1" x14ac:dyDescent="0.35">
      <c r="A41" s="6" t="s">
        <v>52</v>
      </c>
      <c r="B41" s="4" t="s">
        <v>5</v>
      </c>
      <c r="C41" s="4" t="s">
        <v>6</v>
      </c>
      <c r="D41" s="4" t="s">
        <v>98</v>
      </c>
      <c r="E41" s="7">
        <v>4</v>
      </c>
      <c r="F41" s="4" t="s">
        <v>135</v>
      </c>
    </row>
    <row r="42" spans="1:6" ht="15" thickBot="1" x14ac:dyDescent="0.35">
      <c r="A42" s="6" t="s">
        <v>53</v>
      </c>
      <c r="B42" s="4" t="s">
        <v>5</v>
      </c>
      <c r="C42" s="4" t="s">
        <v>6</v>
      </c>
      <c r="D42" s="4">
        <v>2025</v>
      </c>
      <c r="E42" s="7">
        <v>1</v>
      </c>
      <c r="F42" s="4" t="s">
        <v>129</v>
      </c>
    </row>
    <row r="43" spans="1:6" ht="15" thickBot="1" x14ac:dyDescent="0.35">
      <c r="A43" s="6" t="s">
        <v>54</v>
      </c>
      <c r="B43" s="4" t="s">
        <v>5</v>
      </c>
      <c r="C43" s="4" t="s">
        <v>17</v>
      </c>
      <c r="D43" s="4">
        <v>2024</v>
      </c>
      <c r="E43" s="7">
        <v>1</v>
      </c>
      <c r="F43" s="4" t="s">
        <v>120</v>
      </c>
    </row>
    <row r="44" spans="1:6" ht="15" thickBot="1" x14ac:dyDescent="0.35">
      <c r="A44" s="6" t="s">
        <v>55</v>
      </c>
      <c r="B44" s="4" t="s">
        <v>9</v>
      </c>
      <c r="C44" s="4" t="s">
        <v>6</v>
      </c>
      <c r="D44" s="4" t="s">
        <v>98</v>
      </c>
      <c r="E44" s="7">
        <v>3</v>
      </c>
      <c r="F44" s="4" t="s">
        <v>136</v>
      </c>
    </row>
    <row r="45" spans="1:6" ht="15" thickBot="1" x14ac:dyDescent="0.35">
      <c r="A45" s="6" t="s">
        <v>56</v>
      </c>
      <c r="B45" s="4" t="s">
        <v>5</v>
      </c>
      <c r="C45" s="4" t="s">
        <v>26</v>
      </c>
      <c r="D45" s="4" t="s">
        <v>97</v>
      </c>
      <c r="E45" s="7">
        <v>2</v>
      </c>
      <c r="F45" s="4" t="s">
        <v>135</v>
      </c>
    </row>
    <row r="46" spans="1:6" ht="15" thickBot="1" x14ac:dyDescent="0.35">
      <c r="A46" s="6" t="s">
        <v>57</v>
      </c>
      <c r="B46" s="4" t="s">
        <v>9</v>
      </c>
      <c r="C46" s="4" t="s">
        <v>6</v>
      </c>
      <c r="D46" s="4" t="s">
        <v>98</v>
      </c>
      <c r="E46" s="7">
        <v>6</v>
      </c>
      <c r="F46" s="4" t="s">
        <v>134</v>
      </c>
    </row>
    <row r="47" spans="1:6" ht="15" thickBot="1" x14ac:dyDescent="0.35">
      <c r="A47" s="6" t="s">
        <v>58</v>
      </c>
      <c r="B47" s="4" t="s">
        <v>9</v>
      </c>
      <c r="C47" s="4" t="s">
        <v>12</v>
      </c>
      <c r="D47" s="4" t="s">
        <v>98</v>
      </c>
      <c r="E47" s="7">
        <v>9</v>
      </c>
      <c r="F47" s="4" t="s">
        <v>133</v>
      </c>
    </row>
    <row r="48" spans="1:6" ht="15" thickBot="1" x14ac:dyDescent="0.35">
      <c r="A48" s="6" t="s">
        <v>59</v>
      </c>
      <c r="B48" s="4" t="s">
        <v>5</v>
      </c>
      <c r="C48" s="4" t="s">
        <v>60</v>
      </c>
      <c r="D48" s="4" t="s">
        <v>97</v>
      </c>
      <c r="E48" s="7">
        <v>2</v>
      </c>
      <c r="F48" s="4" t="s">
        <v>155</v>
      </c>
    </row>
    <row r="49" spans="1:6" ht="15" thickBot="1" x14ac:dyDescent="0.35">
      <c r="A49" s="6" t="s">
        <v>61</v>
      </c>
      <c r="B49" s="4" t="s">
        <v>5</v>
      </c>
      <c r="C49" s="4" t="s">
        <v>62</v>
      </c>
      <c r="D49" s="4">
        <v>2025</v>
      </c>
      <c r="E49" s="7">
        <v>1</v>
      </c>
      <c r="F49" s="4" t="s">
        <v>132</v>
      </c>
    </row>
    <row r="50" spans="1:6" ht="15" thickBot="1" x14ac:dyDescent="0.35">
      <c r="A50" s="6" t="s">
        <v>63</v>
      </c>
      <c r="B50" s="4" t="s">
        <v>5</v>
      </c>
      <c r="C50" s="4" t="s">
        <v>6</v>
      </c>
      <c r="D50" s="4" t="s">
        <v>98</v>
      </c>
      <c r="E50" s="7">
        <v>3</v>
      </c>
      <c r="F50" s="4" t="s">
        <v>122</v>
      </c>
    </row>
    <row r="51" spans="1:6" ht="15" thickBot="1" x14ac:dyDescent="0.35">
      <c r="A51" s="6" t="s">
        <v>64</v>
      </c>
      <c r="B51" s="4" t="s">
        <v>5</v>
      </c>
      <c r="C51" s="4" t="s">
        <v>17</v>
      </c>
      <c r="D51" s="4" t="s">
        <v>97</v>
      </c>
      <c r="E51" s="7">
        <v>3</v>
      </c>
      <c r="F51" s="4" t="s">
        <v>131</v>
      </c>
    </row>
    <row r="52" spans="1:6" ht="15" thickBot="1" x14ac:dyDescent="0.35">
      <c r="A52" s="6" t="s">
        <v>65</v>
      </c>
      <c r="B52" s="4" t="s">
        <v>9</v>
      </c>
      <c r="C52" s="4" t="s">
        <v>60</v>
      </c>
      <c r="D52" s="4" t="s">
        <v>98</v>
      </c>
      <c r="E52" s="7">
        <v>3</v>
      </c>
      <c r="F52" s="4" t="s">
        <v>130</v>
      </c>
    </row>
    <row r="53" spans="1:6" ht="15" thickBot="1" x14ac:dyDescent="0.35">
      <c r="A53" s="6" t="s">
        <v>66</v>
      </c>
      <c r="B53" s="4" t="s">
        <v>9</v>
      </c>
      <c r="C53" s="4" t="s">
        <v>6</v>
      </c>
      <c r="D53" s="4" t="s">
        <v>98</v>
      </c>
      <c r="E53" s="7">
        <v>5</v>
      </c>
      <c r="F53" s="4" t="s">
        <v>129</v>
      </c>
    </row>
    <row r="54" spans="1:6" ht="15" thickBot="1" x14ac:dyDescent="0.35">
      <c r="A54" s="6" t="s">
        <v>67</v>
      </c>
      <c r="B54" s="4" t="s">
        <v>9</v>
      </c>
      <c r="C54" s="4" t="s">
        <v>6</v>
      </c>
      <c r="D54" s="4" t="s">
        <v>99</v>
      </c>
      <c r="E54" s="7">
        <v>4</v>
      </c>
      <c r="F54" s="4" t="s">
        <v>128</v>
      </c>
    </row>
    <row r="55" spans="1:6" ht="15" thickBot="1" x14ac:dyDescent="0.35">
      <c r="A55" s="6" t="s">
        <v>68</v>
      </c>
      <c r="B55" s="4" t="s">
        <v>5</v>
      </c>
      <c r="C55" s="4" t="s">
        <v>17</v>
      </c>
      <c r="D55" s="4" t="s">
        <v>98</v>
      </c>
      <c r="E55" s="7">
        <v>7</v>
      </c>
      <c r="F55" s="4" t="s">
        <v>127</v>
      </c>
    </row>
    <row r="56" spans="1:6" ht="15" thickBot="1" x14ac:dyDescent="0.35">
      <c r="A56" s="6" t="s">
        <v>69</v>
      </c>
      <c r="B56" s="4" t="s">
        <v>5</v>
      </c>
      <c r="C56" s="4" t="s">
        <v>62</v>
      </c>
      <c r="D56" s="4" t="s">
        <v>97</v>
      </c>
      <c r="E56" s="7">
        <v>5</v>
      </c>
      <c r="F56" s="4" t="s">
        <v>126</v>
      </c>
    </row>
    <row r="57" spans="1:6" ht="15" thickBot="1" x14ac:dyDescent="0.35">
      <c r="A57" s="6" t="s">
        <v>70</v>
      </c>
      <c r="B57" s="4" t="s">
        <v>5</v>
      </c>
      <c r="C57" s="4" t="s">
        <v>6</v>
      </c>
      <c r="D57" s="4" t="s">
        <v>97</v>
      </c>
      <c r="E57" s="7">
        <v>2</v>
      </c>
      <c r="F57" s="4" t="s">
        <v>125</v>
      </c>
    </row>
    <row r="58" spans="1:6" ht="15" thickBot="1" x14ac:dyDescent="0.35">
      <c r="A58" s="6" t="s">
        <v>71</v>
      </c>
      <c r="B58" s="4" t="s">
        <v>5</v>
      </c>
      <c r="C58" s="4" t="s">
        <v>6</v>
      </c>
      <c r="D58" s="4">
        <v>2025</v>
      </c>
      <c r="E58" s="7">
        <v>1</v>
      </c>
      <c r="F58" s="4" t="s">
        <v>113</v>
      </c>
    </row>
    <row r="59" spans="1:6" ht="15" thickBot="1" x14ac:dyDescent="0.35">
      <c r="A59" s="6" t="s">
        <v>72</v>
      </c>
      <c r="B59" s="4" t="s">
        <v>5</v>
      </c>
      <c r="C59" s="4" t="s">
        <v>6</v>
      </c>
      <c r="D59" s="4">
        <v>2023</v>
      </c>
      <c r="E59" s="7">
        <v>1</v>
      </c>
      <c r="F59" s="4" t="s">
        <v>124</v>
      </c>
    </row>
    <row r="60" spans="1:6" ht="15" thickBot="1" x14ac:dyDescent="0.35">
      <c r="A60" s="6" t="s">
        <v>73</v>
      </c>
      <c r="B60" s="4" t="s">
        <v>5</v>
      </c>
      <c r="C60" s="4" t="s">
        <v>6</v>
      </c>
      <c r="D60" s="4" t="s">
        <v>98</v>
      </c>
      <c r="E60" s="7">
        <v>14</v>
      </c>
      <c r="F60" s="4" t="s">
        <v>123</v>
      </c>
    </row>
    <row r="61" spans="1:6" ht="15" thickBot="1" x14ac:dyDescent="0.35">
      <c r="A61" s="6" t="s">
        <v>74</v>
      </c>
      <c r="B61" s="4" t="s">
        <v>9</v>
      </c>
      <c r="C61" s="4" t="s">
        <v>6</v>
      </c>
      <c r="D61" s="4" t="s">
        <v>98</v>
      </c>
      <c r="E61" s="7">
        <v>3</v>
      </c>
      <c r="F61" s="4" t="s">
        <v>112</v>
      </c>
    </row>
    <row r="62" spans="1:6" ht="15" thickBot="1" x14ac:dyDescent="0.35">
      <c r="A62" s="6" t="s">
        <v>75</v>
      </c>
      <c r="B62" s="4" t="s">
        <v>5</v>
      </c>
      <c r="C62" s="4" t="s">
        <v>6</v>
      </c>
      <c r="D62" s="4">
        <v>2024</v>
      </c>
      <c r="E62" s="7">
        <v>6</v>
      </c>
      <c r="F62" s="4" t="s">
        <v>122</v>
      </c>
    </row>
    <row r="63" spans="1:6" ht="15" thickBot="1" x14ac:dyDescent="0.35">
      <c r="A63" s="6" t="s">
        <v>76</v>
      </c>
      <c r="B63" s="4" t="s">
        <v>9</v>
      </c>
      <c r="C63" s="4" t="s">
        <v>6</v>
      </c>
      <c r="D63" s="4" t="s">
        <v>97</v>
      </c>
      <c r="E63" s="7">
        <v>15</v>
      </c>
      <c r="F63" s="4" t="s">
        <v>121</v>
      </c>
    </row>
    <row r="64" spans="1:6" ht="15" thickBot="1" x14ac:dyDescent="0.35">
      <c r="A64" s="6" t="s">
        <v>77</v>
      </c>
      <c r="B64" s="4" t="s">
        <v>9</v>
      </c>
      <c r="C64" s="4" t="s">
        <v>60</v>
      </c>
      <c r="D64" s="4" t="s">
        <v>98</v>
      </c>
      <c r="E64" s="7">
        <v>4</v>
      </c>
      <c r="F64" s="4" t="s">
        <v>114</v>
      </c>
    </row>
    <row r="65" spans="1:6" ht="15" thickBot="1" x14ac:dyDescent="0.35">
      <c r="A65" s="6" t="s">
        <v>78</v>
      </c>
      <c r="B65" s="4" t="s">
        <v>9</v>
      </c>
      <c r="C65" s="4" t="s">
        <v>10</v>
      </c>
      <c r="D65" s="4">
        <v>2025</v>
      </c>
      <c r="E65" s="7">
        <v>1</v>
      </c>
      <c r="F65" s="4" t="s">
        <v>107</v>
      </c>
    </row>
    <row r="66" spans="1:6" ht="15" thickBot="1" x14ac:dyDescent="0.35">
      <c r="A66" s="6" t="s">
        <v>79</v>
      </c>
      <c r="B66" s="4" t="s">
        <v>5</v>
      </c>
      <c r="C66" s="4" t="s">
        <v>6</v>
      </c>
      <c r="D66" s="4">
        <v>2023</v>
      </c>
      <c r="E66" s="7">
        <v>4</v>
      </c>
      <c r="F66" s="4" t="s">
        <v>120</v>
      </c>
    </row>
    <row r="67" spans="1:6" ht="15" thickBot="1" x14ac:dyDescent="0.35">
      <c r="A67" s="6" t="s">
        <v>80</v>
      </c>
      <c r="B67" s="4" t="s">
        <v>5</v>
      </c>
      <c r="C67" s="4" t="s">
        <v>17</v>
      </c>
      <c r="D67" s="4" t="s">
        <v>96</v>
      </c>
      <c r="E67" s="7">
        <v>5</v>
      </c>
      <c r="F67" s="4" t="s">
        <v>119</v>
      </c>
    </row>
    <row r="68" spans="1:6" ht="15" thickBot="1" x14ac:dyDescent="0.35">
      <c r="A68" s="6" t="s">
        <v>81</v>
      </c>
      <c r="B68" s="4" t="s">
        <v>5</v>
      </c>
      <c r="C68" s="4" t="s">
        <v>17</v>
      </c>
      <c r="D68" s="4">
        <v>2023</v>
      </c>
      <c r="E68" s="7">
        <v>1</v>
      </c>
      <c r="F68" s="4" t="s">
        <v>118</v>
      </c>
    </row>
    <row r="69" spans="1:6" ht="15" thickBot="1" x14ac:dyDescent="0.35">
      <c r="A69" s="6" t="s">
        <v>82</v>
      </c>
      <c r="B69" s="4" t="s">
        <v>5</v>
      </c>
      <c r="C69" s="4" t="s">
        <v>83</v>
      </c>
      <c r="D69" s="4">
        <v>2023</v>
      </c>
      <c r="E69" s="7">
        <v>1</v>
      </c>
      <c r="F69" s="4" t="s">
        <v>107</v>
      </c>
    </row>
    <row r="70" spans="1:6" ht="15" thickBot="1" x14ac:dyDescent="0.35">
      <c r="A70" s="6" t="s">
        <v>84</v>
      </c>
      <c r="B70" s="4" t="s">
        <v>9</v>
      </c>
      <c r="C70" s="4" t="s">
        <v>37</v>
      </c>
      <c r="D70" s="4" t="s">
        <v>98</v>
      </c>
      <c r="E70" s="7">
        <v>13</v>
      </c>
      <c r="F70" s="4" t="s">
        <v>117</v>
      </c>
    </row>
    <row r="71" spans="1:6" ht="15" thickBot="1" x14ac:dyDescent="0.35">
      <c r="A71" s="6" t="s">
        <v>85</v>
      </c>
      <c r="B71" s="4" t="s">
        <v>5</v>
      </c>
      <c r="C71" s="4" t="s">
        <v>6</v>
      </c>
      <c r="D71" s="4">
        <v>2023</v>
      </c>
      <c r="E71" s="7">
        <v>10</v>
      </c>
      <c r="F71" s="4" t="s">
        <v>116</v>
      </c>
    </row>
    <row r="72" spans="1:6" ht="15" thickBot="1" x14ac:dyDescent="0.35">
      <c r="A72" s="6" t="s">
        <v>86</v>
      </c>
      <c r="B72" s="4" t="s">
        <v>9</v>
      </c>
      <c r="C72" s="4" t="s">
        <v>26</v>
      </c>
      <c r="D72" s="4" t="s">
        <v>98</v>
      </c>
      <c r="E72" s="7">
        <v>3</v>
      </c>
      <c r="F72" s="4" t="s">
        <v>115</v>
      </c>
    </row>
    <row r="73" spans="1:6" ht="15" thickBot="1" x14ac:dyDescent="0.35">
      <c r="A73" s="6" t="s">
        <v>87</v>
      </c>
      <c r="B73" s="4" t="s">
        <v>5</v>
      </c>
      <c r="C73" s="4" t="s">
        <v>6</v>
      </c>
      <c r="D73" s="4">
        <v>2023</v>
      </c>
      <c r="E73" s="7">
        <v>1</v>
      </c>
      <c r="F73" s="4" t="s">
        <v>114</v>
      </c>
    </row>
    <row r="74" spans="1:6" ht="15" thickBot="1" x14ac:dyDescent="0.35">
      <c r="A74" s="6" t="s">
        <v>88</v>
      </c>
      <c r="B74" s="4" t="s">
        <v>5</v>
      </c>
      <c r="C74" s="4" t="s">
        <v>10</v>
      </c>
      <c r="D74" s="4">
        <v>2023</v>
      </c>
      <c r="E74" s="7">
        <v>1</v>
      </c>
      <c r="F74" s="4" t="s">
        <v>113</v>
      </c>
    </row>
    <row r="75" spans="1:6" ht="15" thickBot="1" x14ac:dyDescent="0.35">
      <c r="A75" s="6" t="s">
        <v>89</v>
      </c>
      <c r="B75" s="4" t="s">
        <v>5</v>
      </c>
      <c r="C75" s="4" t="s">
        <v>60</v>
      </c>
      <c r="D75" s="4" t="s">
        <v>99</v>
      </c>
      <c r="E75" s="7">
        <v>2</v>
      </c>
      <c r="F75" s="4" t="s">
        <v>112</v>
      </c>
    </row>
    <row r="76" spans="1:6" ht="15" thickBot="1" x14ac:dyDescent="0.35">
      <c r="A76" s="6" t="s">
        <v>90</v>
      </c>
      <c r="B76" s="4" t="s">
        <v>5</v>
      </c>
      <c r="C76" s="4" t="s">
        <v>6</v>
      </c>
      <c r="D76" s="4">
        <v>2025</v>
      </c>
      <c r="E76" s="7">
        <v>1</v>
      </c>
      <c r="F76" s="4" t="s">
        <v>111</v>
      </c>
    </row>
    <row r="77" spans="1:6" ht="15" thickBot="1" x14ac:dyDescent="0.35">
      <c r="A77" s="6" t="s">
        <v>91</v>
      </c>
      <c r="B77" s="4" t="s">
        <v>9</v>
      </c>
      <c r="C77" s="4" t="s">
        <v>6</v>
      </c>
      <c r="D77" s="4" t="s">
        <v>98</v>
      </c>
      <c r="E77" s="7">
        <v>6</v>
      </c>
      <c r="F77" s="4" t="s">
        <v>110</v>
      </c>
    </row>
    <row r="78" spans="1:6" ht="15" thickBot="1" x14ac:dyDescent="0.35">
      <c r="A78" s="6" t="s">
        <v>92</v>
      </c>
      <c r="B78" s="4" t="s">
        <v>9</v>
      </c>
      <c r="C78" s="4" t="s">
        <v>17</v>
      </c>
      <c r="D78" s="4">
        <v>2025</v>
      </c>
      <c r="E78" s="7">
        <v>1</v>
      </c>
      <c r="F78" s="4" t="s">
        <v>108</v>
      </c>
    </row>
    <row r="79" spans="1:6" ht="15" thickBot="1" x14ac:dyDescent="0.35">
      <c r="A79" s="6" t="s">
        <v>93</v>
      </c>
      <c r="B79" s="4" t="s">
        <v>9</v>
      </c>
      <c r="C79" s="4" t="s">
        <v>6</v>
      </c>
      <c r="D79" s="4">
        <v>2025</v>
      </c>
      <c r="E79" s="7">
        <v>1</v>
      </c>
      <c r="F79" s="4" t="s">
        <v>108</v>
      </c>
    </row>
    <row r="80" spans="1:6" x14ac:dyDescent="0.3">
      <c r="A80" s="8" t="s">
        <v>94</v>
      </c>
      <c r="B80" s="5" t="s">
        <v>5</v>
      </c>
      <c r="C80" s="5" t="s">
        <v>17</v>
      </c>
      <c r="D80" s="5" t="s">
        <v>97</v>
      </c>
      <c r="E80" s="9">
        <v>2</v>
      </c>
      <c r="F80" s="5" t="s">
        <v>109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nasib raya</dc:creator>
  <cp:lastModifiedBy>mohamad nasib raya</cp:lastModifiedBy>
  <dcterms:created xsi:type="dcterms:W3CDTF">2026-04-09T20:33:18Z</dcterms:created>
  <dcterms:modified xsi:type="dcterms:W3CDTF">2026-04-17T15:42:58Z</dcterms:modified>
</cp:coreProperties>
</file>